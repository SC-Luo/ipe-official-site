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6BA4F76-2565-4C19-8C2E-9BF1377089DD}" xr6:coauthVersionLast="47" xr6:coauthVersionMax="47" xr10:uidLastSave="{00000000-0000-0000-0000-000000000000}"/>
  <bookViews>
    <workbookView xWindow="-108" yWindow="-108" windowWidth="23256" windowHeight="12576" xr2:uid="{A45F4FFA-561E-4B0E-B0E8-BEE3378AC213}"/>
  </bookViews>
  <sheets>
    <sheet name="工具材料表" sheetId="1" r:id="rId1"/>
    <sheet name="工具材料採購清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9" i="2"/>
  <c r="M10" i="2"/>
  <c r="M11" i="2"/>
  <c r="M12" i="2"/>
  <c r="M13" i="2"/>
  <c r="M14" i="2"/>
  <c r="M15" i="2"/>
  <c r="M16" i="2"/>
  <c r="M17" i="2"/>
  <c r="M18" i="2"/>
  <c r="M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0" i="2"/>
  <c r="F3" i="2"/>
  <c r="F21" i="2" s="1"/>
  <c r="M21" i="2" l="1"/>
  <c r="M22" i="2" s="1"/>
</calcChain>
</file>

<file path=xl/sharedStrings.xml><?xml version="1.0" encoding="utf-8"?>
<sst xmlns="http://schemas.openxmlformats.org/spreadsheetml/2006/main" count="108" uniqueCount="52">
  <si>
    <t>NO</t>
    <phoneticPr fontId="1" type="noConversion"/>
  </si>
  <si>
    <t>品項</t>
    <phoneticPr fontId="1" type="noConversion"/>
  </si>
  <si>
    <t>數量</t>
    <phoneticPr fontId="1" type="noConversion"/>
  </si>
  <si>
    <t>工作服</t>
    <phoneticPr fontId="1" type="noConversion"/>
  </si>
  <si>
    <t>口罩</t>
    <phoneticPr fontId="1" type="noConversion"/>
  </si>
  <si>
    <t>平口美容衣</t>
    <phoneticPr fontId="1" type="noConversion"/>
  </si>
  <si>
    <t>工具籃</t>
    <phoneticPr fontId="1" type="noConversion"/>
  </si>
  <si>
    <t>分納收納盒</t>
    <phoneticPr fontId="1" type="noConversion"/>
  </si>
  <si>
    <t>洗臉巾</t>
    <phoneticPr fontId="1" type="noConversion"/>
  </si>
  <si>
    <t>化妝棉</t>
    <phoneticPr fontId="1" type="noConversion"/>
  </si>
  <si>
    <t>棉花棒</t>
    <phoneticPr fontId="1" type="noConversion"/>
  </si>
  <si>
    <t>面膜紙</t>
    <phoneticPr fontId="1" type="noConversion"/>
  </si>
  <si>
    <t>鋪床巾(奶茶色)</t>
    <phoneticPr fontId="1" type="noConversion"/>
  </si>
  <si>
    <t>小毛巾(奶茶色)</t>
    <phoneticPr fontId="1" type="noConversion"/>
  </si>
  <si>
    <t>敷臉刷</t>
    <phoneticPr fontId="1" type="noConversion"/>
  </si>
  <si>
    <t>美容缽</t>
    <phoneticPr fontId="1" type="noConversion"/>
  </si>
  <si>
    <t>粉刺針</t>
    <phoneticPr fontId="1" type="noConversion"/>
  </si>
  <si>
    <t>粉刺夾</t>
    <phoneticPr fontId="1" type="noConversion"/>
  </si>
  <si>
    <t>水盆</t>
    <phoneticPr fontId="1" type="noConversion"/>
  </si>
  <si>
    <t>卸眼唇液</t>
    <phoneticPr fontId="1" type="noConversion"/>
  </si>
  <si>
    <t>卸妝乳</t>
    <phoneticPr fontId="1" type="noConversion"/>
  </si>
  <si>
    <t>洗面乳</t>
    <phoneticPr fontId="1" type="noConversion"/>
  </si>
  <si>
    <t>去角質霜</t>
    <phoneticPr fontId="1" type="noConversion"/>
  </si>
  <si>
    <t>化妝水</t>
    <phoneticPr fontId="1" type="noConversion"/>
  </si>
  <si>
    <t>按摩霜</t>
    <phoneticPr fontId="1" type="noConversion"/>
  </si>
  <si>
    <t>粉刺水</t>
    <phoneticPr fontId="1" type="noConversion"/>
  </si>
  <si>
    <t>敷臉霜(有顏色)</t>
    <phoneticPr fontId="1" type="noConversion"/>
  </si>
  <si>
    <t>隔離或防曬霜</t>
    <phoneticPr fontId="1" type="noConversion"/>
  </si>
  <si>
    <t>乳液</t>
    <phoneticPr fontId="1" type="noConversion"/>
  </si>
  <si>
    <t>檯燈</t>
    <phoneticPr fontId="1" type="noConversion"/>
  </si>
  <si>
    <t>置物架</t>
    <phoneticPr fontId="1" type="noConversion"/>
  </si>
  <si>
    <t>待消毒袋.垃圾袋</t>
    <phoneticPr fontId="1" type="noConversion"/>
  </si>
  <si>
    <t>山口夾</t>
    <phoneticPr fontId="1" type="noConversion"/>
  </si>
  <si>
    <t>工具類</t>
    <phoneticPr fontId="1" type="noConversion"/>
  </si>
  <si>
    <t>塑膠挖棒</t>
    <phoneticPr fontId="1" type="noConversion"/>
  </si>
  <si>
    <t>室內拖</t>
    <phoneticPr fontId="1" type="noConversion"/>
  </si>
  <si>
    <t>75%酒精罐</t>
    <phoneticPr fontId="1" type="noConversion"/>
  </si>
  <si>
    <t>擠痘棒</t>
    <phoneticPr fontId="1" type="noConversion"/>
  </si>
  <si>
    <t>延長線</t>
    <phoneticPr fontId="1" type="noConversion"/>
  </si>
  <si>
    <t>保養品
-
合格產品</t>
    <phoneticPr fontId="1" type="noConversion"/>
  </si>
  <si>
    <t>單價</t>
    <phoneticPr fontId="1" type="noConversion"/>
  </si>
  <si>
    <t>小計</t>
    <phoneticPr fontId="1" type="noConversion"/>
  </si>
  <si>
    <t>紙拖鞋</t>
    <phoneticPr fontId="1" type="noConversion"/>
  </si>
  <si>
    <t>訂購</t>
    <phoneticPr fontId="1" type="noConversion"/>
  </si>
  <si>
    <t>總計</t>
    <phoneticPr fontId="1" type="noConversion"/>
  </si>
  <si>
    <t>痘針</t>
    <phoneticPr fontId="1" type="noConversion"/>
  </si>
  <si>
    <t>自備</t>
    <phoneticPr fontId="1" type="noConversion"/>
  </si>
  <si>
    <t>皮膚管理初級工具清單</t>
    <phoneticPr fontId="1" type="noConversion"/>
  </si>
  <si>
    <t>皮膚管理初級工具材料訂購單</t>
    <phoneticPr fontId="1" type="noConversion"/>
  </si>
  <si>
    <t>數張</t>
    <phoneticPr fontId="1" type="noConversion"/>
  </si>
  <si>
    <t>數支</t>
    <phoneticPr fontId="1" type="noConversion"/>
  </si>
  <si>
    <t>操作時
須配戴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</si>
</sst>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"/>
      <color rgb="FF231F2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5673-94E7-4485-9CA9-732B508A8FC9}">
  <dimension ref="A1:H26"/>
  <sheetViews>
    <sheetView tabSelected="1" workbookViewId="0">
      <selection activeCell="I21" sqref="I21"/>
    </sheetView>
  </sheetViews>
  <sheetFormatPr defaultRowHeight="15.6" x14ac:dyDescent="0.3"/>
  <cols>
    <col min="1" max="1" width="4.5546875" style="10" customWidth="1"/>
    <col min="2" max="2" width="4" style="1" customWidth="1"/>
    <col min="3" max="3" width="19.6640625" style="1" customWidth="1"/>
    <col min="4" max="4" width="7.88671875" style="11" customWidth="1"/>
    <col min="5" max="5" width="6" style="10" customWidth="1"/>
    <col min="6" max="6" width="4.33203125" style="1" customWidth="1"/>
    <col min="7" max="7" width="21.77734375" style="1" customWidth="1"/>
    <col min="8" max="8" width="7.5546875" style="11" customWidth="1"/>
    <col min="9" max="16384" width="8.88671875" style="1"/>
  </cols>
  <sheetData>
    <row r="1" spans="1:8" ht="32.4" customHeight="1" x14ac:dyDescent="0.3">
      <c r="A1" s="18" t="s">
        <v>47</v>
      </c>
      <c r="B1" s="18"/>
      <c r="C1" s="18"/>
      <c r="D1" s="18"/>
      <c r="E1" s="18"/>
      <c r="F1" s="18"/>
      <c r="G1" s="18"/>
      <c r="H1" s="18"/>
    </row>
    <row r="2" spans="1:8" x14ac:dyDescent="0.3">
      <c r="A2" s="2" t="s">
        <v>0</v>
      </c>
      <c r="B2" s="3" t="s">
        <v>1</v>
      </c>
      <c r="C2" s="3"/>
      <c r="D2" s="2" t="s">
        <v>2</v>
      </c>
      <c r="E2" s="2" t="s">
        <v>0</v>
      </c>
      <c r="F2" s="3" t="s">
        <v>1</v>
      </c>
      <c r="G2" s="3"/>
      <c r="H2" s="2" t="s">
        <v>2</v>
      </c>
    </row>
    <row r="3" spans="1:8" ht="22.2" customHeight="1" x14ac:dyDescent="0.3">
      <c r="A3" s="2">
        <v>1</v>
      </c>
      <c r="B3" s="4" t="s">
        <v>33</v>
      </c>
      <c r="C3" s="5" t="s">
        <v>3</v>
      </c>
      <c r="D3" s="6">
        <v>1</v>
      </c>
      <c r="E3" s="2">
        <v>19</v>
      </c>
      <c r="F3" s="4" t="s">
        <v>33</v>
      </c>
      <c r="G3" s="5" t="s">
        <v>16</v>
      </c>
      <c r="H3" s="6">
        <v>1</v>
      </c>
    </row>
    <row r="4" spans="1:8" ht="22.2" customHeight="1" x14ac:dyDescent="0.3">
      <c r="A4" s="2">
        <v>2</v>
      </c>
      <c r="B4" s="4"/>
      <c r="C4" s="5" t="s">
        <v>5</v>
      </c>
      <c r="D4" s="6">
        <v>1</v>
      </c>
      <c r="E4" s="2">
        <v>20</v>
      </c>
      <c r="F4" s="4"/>
      <c r="G4" s="5" t="s">
        <v>17</v>
      </c>
      <c r="H4" s="6">
        <v>1</v>
      </c>
    </row>
    <row r="5" spans="1:8" ht="22.2" customHeight="1" x14ac:dyDescent="0.3">
      <c r="A5" s="2">
        <v>3</v>
      </c>
      <c r="B5" s="4"/>
      <c r="C5" s="5" t="s">
        <v>35</v>
      </c>
      <c r="D5" s="6">
        <v>2</v>
      </c>
      <c r="E5" s="2">
        <v>21</v>
      </c>
      <c r="F5" s="4"/>
      <c r="G5" s="5" t="s">
        <v>37</v>
      </c>
      <c r="H5" s="6">
        <v>1</v>
      </c>
    </row>
    <row r="6" spans="1:8" ht="22.2" customHeight="1" x14ac:dyDescent="0.3">
      <c r="A6" s="2">
        <v>4</v>
      </c>
      <c r="B6" s="4"/>
      <c r="C6" s="5" t="s">
        <v>31</v>
      </c>
      <c r="D6" s="6">
        <v>1</v>
      </c>
      <c r="E6" s="2">
        <v>22</v>
      </c>
      <c r="F6" s="4"/>
      <c r="G6" s="5" t="s">
        <v>34</v>
      </c>
      <c r="H6" s="6">
        <v>5</v>
      </c>
    </row>
    <row r="7" spans="1:8" ht="22.2" customHeight="1" x14ac:dyDescent="0.3">
      <c r="A7" s="2">
        <v>5</v>
      </c>
      <c r="B7" s="4"/>
      <c r="C7" s="5" t="s">
        <v>32</v>
      </c>
      <c r="D7" s="6">
        <v>2</v>
      </c>
      <c r="E7" s="2">
        <v>23</v>
      </c>
      <c r="F7" s="4"/>
      <c r="G7" s="5" t="s">
        <v>29</v>
      </c>
      <c r="H7" s="6">
        <v>1</v>
      </c>
    </row>
    <row r="8" spans="1:8" ht="22.2" customHeight="1" x14ac:dyDescent="0.3">
      <c r="A8" s="2">
        <v>6</v>
      </c>
      <c r="B8" s="4"/>
      <c r="C8" s="5" t="s">
        <v>6</v>
      </c>
      <c r="D8" s="6">
        <v>1</v>
      </c>
      <c r="E8" s="2">
        <v>24</v>
      </c>
      <c r="F8" s="4"/>
      <c r="G8" s="5" t="s">
        <v>38</v>
      </c>
      <c r="H8" s="6">
        <v>1</v>
      </c>
    </row>
    <row r="9" spans="1:8" ht="22.2" customHeight="1" x14ac:dyDescent="0.3">
      <c r="A9" s="2">
        <v>7</v>
      </c>
      <c r="B9" s="4"/>
      <c r="C9" s="5" t="s">
        <v>30</v>
      </c>
      <c r="D9" s="6">
        <v>1</v>
      </c>
      <c r="E9" s="2">
        <v>25</v>
      </c>
      <c r="F9" s="7" t="s">
        <v>39</v>
      </c>
      <c r="G9" s="5" t="s">
        <v>19</v>
      </c>
      <c r="H9" s="6">
        <v>1</v>
      </c>
    </row>
    <row r="10" spans="1:8" ht="22.2" customHeight="1" x14ac:dyDescent="0.3">
      <c r="A10" s="2">
        <v>8</v>
      </c>
      <c r="B10" s="4"/>
      <c r="C10" s="5" t="s">
        <v>7</v>
      </c>
      <c r="D10" s="6">
        <v>1</v>
      </c>
      <c r="E10" s="2">
        <v>26</v>
      </c>
      <c r="F10" s="8"/>
      <c r="G10" s="5" t="s">
        <v>20</v>
      </c>
      <c r="H10" s="6">
        <v>1</v>
      </c>
    </row>
    <row r="11" spans="1:8" ht="22.2" customHeight="1" x14ac:dyDescent="0.3">
      <c r="A11" s="2">
        <v>9</v>
      </c>
      <c r="B11" s="4"/>
      <c r="C11" s="5" t="s">
        <v>8</v>
      </c>
      <c r="D11" s="6" t="s">
        <v>49</v>
      </c>
      <c r="E11" s="2">
        <v>27</v>
      </c>
      <c r="F11" s="8"/>
      <c r="G11" s="5" t="s">
        <v>21</v>
      </c>
      <c r="H11" s="6">
        <v>1</v>
      </c>
    </row>
    <row r="12" spans="1:8" ht="22.2" customHeight="1" x14ac:dyDescent="0.3">
      <c r="A12" s="2">
        <v>10</v>
      </c>
      <c r="B12" s="4"/>
      <c r="C12" s="5" t="s">
        <v>9</v>
      </c>
      <c r="D12" s="6" t="s">
        <v>49</v>
      </c>
      <c r="E12" s="2">
        <v>28</v>
      </c>
      <c r="F12" s="8"/>
      <c r="G12" s="5" t="s">
        <v>23</v>
      </c>
      <c r="H12" s="6">
        <v>1</v>
      </c>
    </row>
    <row r="13" spans="1:8" ht="22.2" customHeight="1" x14ac:dyDescent="0.3">
      <c r="A13" s="2">
        <v>11</v>
      </c>
      <c r="B13" s="4"/>
      <c r="C13" s="5" t="s">
        <v>10</v>
      </c>
      <c r="D13" s="6" t="s">
        <v>50</v>
      </c>
      <c r="E13" s="2">
        <v>29</v>
      </c>
      <c r="F13" s="8"/>
      <c r="G13" s="5" t="s">
        <v>22</v>
      </c>
      <c r="H13" s="6">
        <v>1</v>
      </c>
    </row>
    <row r="14" spans="1:8" ht="22.2" customHeight="1" x14ac:dyDescent="0.3">
      <c r="A14" s="2">
        <v>12</v>
      </c>
      <c r="B14" s="4"/>
      <c r="C14" s="5" t="s">
        <v>11</v>
      </c>
      <c r="D14" s="6" t="s">
        <v>49</v>
      </c>
      <c r="E14" s="2">
        <v>30</v>
      </c>
      <c r="F14" s="8"/>
      <c r="G14" s="5" t="s">
        <v>24</v>
      </c>
      <c r="H14" s="6">
        <v>1</v>
      </c>
    </row>
    <row r="15" spans="1:8" ht="22.2" customHeight="1" x14ac:dyDescent="0.3">
      <c r="A15" s="2">
        <v>13</v>
      </c>
      <c r="B15" s="4"/>
      <c r="C15" s="5" t="s">
        <v>12</v>
      </c>
      <c r="D15" s="6">
        <v>2</v>
      </c>
      <c r="E15" s="2">
        <v>31</v>
      </c>
      <c r="F15" s="8"/>
      <c r="G15" s="5" t="s">
        <v>25</v>
      </c>
      <c r="H15" s="6">
        <v>1</v>
      </c>
    </row>
    <row r="16" spans="1:8" ht="22.2" customHeight="1" x14ac:dyDescent="0.3">
      <c r="A16" s="2">
        <v>14</v>
      </c>
      <c r="B16" s="4"/>
      <c r="C16" s="5" t="s">
        <v>13</v>
      </c>
      <c r="D16" s="6">
        <v>6</v>
      </c>
      <c r="E16" s="2">
        <v>32</v>
      </c>
      <c r="F16" s="8"/>
      <c r="G16" s="5" t="s">
        <v>26</v>
      </c>
      <c r="H16" s="6">
        <v>1</v>
      </c>
    </row>
    <row r="17" spans="1:8" ht="22.2" customHeight="1" x14ac:dyDescent="0.3">
      <c r="A17" s="2">
        <v>15</v>
      </c>
      <c r="B17" s="4"/>
      <c r="C17" s="5" t="s">
        <v>14</v>
      </c>
      <c r="D17" s="6">
        <v>2</v>
      </c>
      <c r="E17" s="2">
        <v>33</v>
      </c>
      <c r="F17" s="8"/>
      <c r="G17" s="5" t="s">
        <v>28</v>
      </c>
      <c r="H17" s="6">
        <v>1</v>
      </c>
    </row>
    <row r="18" spans="1:8" ht="22.8" customHeight="1" x14ac:dyDescent="0.3">
      <c r="A18" s="2">
        <v>16</v>
      </c>
      <c r="B18" s="4"/>
      <c r="C18" s="5" t="s">
        <v>18</v>
      </c>
      <c r="D18" s="6">
        <v>2</v>
      </c>
      <c r="E18" s="2">
        <v>34</v>
      </c>
      <c r="F18" s="8"/>
      <c r="G18" s="5" t="s">
        <v>27</v>
      </c>
      <c r="H18" s="6">
        <v>1</v>
      </c>
    </row>
    <row r="19" spans="1:8" ht="29.4" customHeight="1" x14ac:dyDescent="0.3">
      <c r="A19" s="2">
        <v>17</v>
      </c>
      <c r="B19" s="4"/>
      <c r="C19" s="5" t="s">
        <v>4</v>
      </c>
      <c r="D19" s="19" t="s">
        <v>51</v>
      </c>
      <c r="E19" s="2">
        <v>35</v>
      </c>
      <c r="F19" s="9"/>
      <c r="G19" s="5" t="s">
        <v>36</v>
      </c>
      <c r="H19" s="6">
        <v>1</v>
      </c>
    </row>
    <row r="20" spans="1:8" ht="22.8" customHeight="1" x14ac:dyDescent="0.3">
      <c r="A20" s="2">
        <v>18</v>
      </c>
      <c r="B20" s="4"/>
      <c r="C20" s="5" t="s">
        <v>15</v>
      </c>
      <c r="D20" s="6">
        <v>3</v>
      </c>
      <c r="E20" s="2"/>
      <c r="F20" s="5"/>
      <c r="G20" s="5"/>
      <c r="H20" s="6"/>
    </row>
    <row r="21" spans="1:8" ht="22.8" customHeight="1" x14ac:dyDescent="0.3"/>
    <row r="26" spans="1:8" ht="17.399999999999999" x14ac:dyDescent="0.3">
      <c r="E26" s="12"/>
    </row>
  </sheetData>
  <mergeCells count="6">
    <mergeCell ref="A1:H1"/>
    <mergeCell ref="F3:F8"/>
    <mergeCell ref="F9:F19"/>
    <mergeCell ref="B2:C2"/>
    <mergeCell ref="F2:G2"/>
    <mergeCell ref="B3:B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6026-BD0D-42B4-A7CE-D95FC258580A}">
  <dimension ref="A1:N26"/>
  <sheetViews>
    <sheetView workbookViewId="0">
      <selection sqref="A1:N1"/>
    </sheetView>
  </sheetViews>
  <sheetFormatPr defaultRowHeight="15.6" x14ac:dyDescent="0.3"/>
  <cols>
    <col min="1" max="1" width="4.5546875" style="10" customWidth="1"/>
    <col min="2" max="2" width="4" style="1" customWidth="1"/>
    <col min="3" max="3" width="19.6640625" style="1" customWidth="1"/>
    <col min="4" max="6" width="5.88671875" style="11" customWidth="1"/>
    <col min="7" max="7" width="7.77734375" style="11" customWidth="1"/>
    <col min="8" max="8" width="6" style="10" customWidth="1"/>
    <col min="9" max="9" width="4.33203125" style="1" customWidth="1"/>
    <col min="10" max="10" width="20.5546875" style="1" customWidth="1"/>
    <col min="11" max="11" width="5.88671875" style="11" customWidth="1"/>
    <col min="12" max="13" width="6.77734375" style="11" customWidth="1"/>
    <col min="14" max="14" width="7.88671875" style="1" customWidth="1"/>
    <col min="15" max="16384" width="8.88671875" style="1"/>
  </cols>
  <sheetData>
    <row r="1" spans="1:14" ht="31.8" customHeight="1" x14ac:dyDescent="0.3">
      <c r="A1" s="18" t="s">
        <v>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3">
      <c r="A2" s="2" t="s">
        <v>0</v>
      </c>
      <c r="B2" s="3" t="s">
        <v>1</v>
      </c>
      <c r="C2" s="3"/>
      <c r="D2" s="2" t="s">
        <v>2</v>
      </c>
      <c r="E2" s="2" t="s">
        <v>40</v>
      </c>
      <c r="F2" s="2" t="s">
        <v>41</v>
      </c>
      <c r="G2" s="2" t="s">
        <v>43</v>
      </c>
      <c r="H2" s="2" t="s">
        <v>0</v>
      </c>
      <c r="I2" s="3" t="s">
        <v>1</v>
      </c>
      <c r="J2" s="3"/>
      <c r="K2" s="2" t="s">
        <v>2</v>
      </c>
      <c r="L2" s="2" t="s">
        <v>40</v>
      </c>
      <c r="M2" s="2" t="s">
        <v>41</v>
      </c>
      <c r="N2" s="2" t="s">
        <v>43</v>
      </c>
    </row>
    <row r="3" spans="1:14" ht="22.2" customHeight="1" x14ac:dyDescent="0.3">
      <c r="A3" s="2">
        <v>1</v>
      </c>
      <c r="B3" s="4" t="s">
        <v>33</v>
      </c>
      <c r="C3" s="5" t="s">
        <v>3</v>
      </c>
      <c r="D3" s="6">
        <v>1</v>
      </c>
      <c r="E3" s="6">
        <v>200</v>
      </c>
      <c r="F3" s="6">
        <f>D3*E3</f>
        <v>200</v>
      </c>
      <c r="G3" s="6"/>
      <c r="H3" s="2">
        <v>19</v>
      </c>
      <c r="I3" s="4" t="s">
        <v>33</v>
      </c>
      <c r="J3" s="5" t="s">
        <v>45</v>
      </c>
      <c r="K3" s="6">
        <v>1</v>
      </c>
      <c r="L3" s="6">
        <v>280</v>
      </c>
      <c r="M3" s="6">
        <f>K3*L3</f>
        <v>280</v>
      </c>
      <c r="N3" s="5"/>
    </row>
    <row r="4" spans="1:14" ht="22.2" customHeight="1" x14ac:dyDescent="0.3">
      <c r="A4" s="2">
        <v>2</v>
      </c>
      <c r="B4" s="4"/>
      <c r="C4" s="5" t="s">
        <v>5</v>
      </c>
      <c r="D4" s="6">
        <v>1</v>
      </c>
      <c r="E4" s="6">
        <v>130</v>
      </c>
      <c r="F4" s="6">
        <f t="shared" ref="F4:F20" si="0">D4*E4</f>
        <v>130</v>
      </c>
      <c r="G4" s="6"/>
      <c r="H4" s="2">
        <v>20</v>
      </c>
      <c r="I4" s="4"/>
      <c r="J4" s="5" t="s">
        <v>17</v>
      </c>
      <c r="K4" s="6">
        <v>1</v>
      </c>
      <c r="L4" s="6">
        <v>650</v>
      </c>
      <c r="M4" s="6">
        <f t="shared" ref="M4:M20" si="1">K4*L4</f>
        <v>650</v>
      </c>
      <c r="N4" s="5"/>
    </row>
    <row r="5" spans="1:14" ht="22.2" customHeight="1" x14ac:dyDescent="0.3">
      <c r="A5" s="2">
        <v>3</v>
      </c>
      <c r="B5" s="4"/>
      <c r="C5" s="5" t="s">
        <v>42</v>
      </c>
      <c r="D5" s="6">
        <v>2</v>
      </c>
      <c r="E5" s="6">
        <v>10</v>
      </c>
      <c r="F5" s="6">
        <f t="shared" si="0"/>
        <v>20</v>
      </c>
      <c r="G5" s="6"/>
      <c r="H5" s="2">
        <v>21</v>
      </c>
      <c r="I5" s="4"/>
      <c r="J5" s="5" t="s">
        <v>37</v>
      </c>
      <c r="K5" s="6">
        <v>1</v>
      </c>
      <c r="L5" s="6">
        <v>300</v>
      </c>
      <c r="M5" s="6">
        <f t="shared" si="1"/>
        <v>300</v>
      </c>
      <c r="N5" s="5"/>
    </row>
    <row r="6" spans="1:14" ht="22.2" customHeight="1" x14ac:dyDescent="0.3">
      <c r="A6" s="2">
        <v>4</v>
      </c>
      <c r="B6" s="4"/>
      <c r="C6" s="5" t="s">
        <v>31</v>
      </c>
      <c r="D6" s="6">
        <v>1</v>
      </c>
      <c r="E6" s="6">
        <v>40</v>
      </c>
      <c r="F6" s="6">
        <f t="shared" si="0"/>
        <v>40</v>
      </c>
      <c r="G6" s="6"/>
      <c r="H6" s="2">
        <v>22</v>
      </c>
      <c r="I6" s="4"/>
      <c r="J6" s="5" t="s">
        <v>34</v>
      </c>
      <c r="K6" s="6">
        <v>5</v>
      </c>
      <c r="L6" s="6">
        <v>5</v>
      </c>
      <c r="M6" s="6">
        <f t="shared" si="1"/>
        <v>25</v>
      </c>
      <c r="N6" s="5"/>
    </row>
    <row r="7" spans="1:14" ht="22.2" customHeight="1" x14ac:dyDescent="0.3">
      <c r="A7" s="2">
        <v>5</v>
      </c>
      <c r="B7" s="4"/>
      <c r="C7" s="5" t="s">
        <v>32</v>
      </c>
      <c r="D7" s="6">
        <v>2</v>
      </c>
      <c r="E7" s="6">
        <v>10</v>
      </c>
      <c r="F7" s="6">
        <f t="shared" si="0"/>
        <v>20</v>
      </c>
      <c r="G7" s="6"/>
      <c r="H7" s="2">
        <v>23</v>
      </c>
      <c r="I7" s="4"/>
      <c r="J7" s="5" t="s">
        <v>29</v>
      </c>
      <c r="K7" s="6">
        <v>1</v>
      </c>
      <c r="L7" s="6" t="s">
        <v>46</v>
      </c>
      <c r="M7" s="2"/>
      <c r="N7" s="13"/>
    </row>
    <row r="8" spans="1:14" ht="22.2" customHeight="1" x14ac:dyDescent="0.3">
      <c r="A8" s="2">
        <v>6</v>
      </c>
      <c r="B8" s="4"/>
      <c r="C8" s="5" t="s">
        <v>6</v>
      </c>
      <c r="D8" s="6">
        <v>1</v>
      </c>
      <c r="E8" s="6">
        <v>70</v>
      </c>
      <c r="F8" s="6">
        <f t="shared" si="0"/>
        <v>70</v>
      </c>
      <c r="G8" s="6"/>
      <c r="H8" s="2">
        <v>24</v>
      </c>
      <c r="I8" s="4"/>
      <c r="J8" s="5" t="s">
        <v>38</v>
      </c>
      <c r="K8" s="6">
        <v>1</v>
      </c>
      <c r="L8" s="6" t="s">
        <v>46</v>
      </c>
      <c r="M8" s="2"/>
      <c r="N8" s="13"/>
    </row>
    <row r="9" spans="1:14" ht="22.2" customHeight="1" x14ac:dyDescent="0.3">
      <c r="A9" s="2">
        <v>7</v>
      </c>
      <c r="B9" s="4"/>
      <c r="C9" s="5" t="s">
        <v>30</v>
      </c>
      <c r="D9" s="6">
        <v>1</v>
      </c>
      <c r="E9" s="6">
        <v>160</v>
      </c>
      <c r="F9" s="6">
        <f t="shared" si="0"/>
        <v>160</v>
      </c>
      <c r="G9" s="6"/>
      <c r="H9" s="2">
        <v>25</v>
      </c>
      <c r="I9" s="7" t="s">
        <v>39</v>
      </c>
      <c r="J9" s="5" t="s">
        <v>19</v>
      </c>
      <c r="K9" s="6">
        <v>1</v>
      </c>
      <c r="L9" s="6">
        <v>320</v>
      </c>
      <c r="M9" s="6">
        <f t="shared" si="1"/>
        <v>320</v>
      </c>
      <c r="N9" s="5"/>
    </row>
    <row r="10" spans="1:14" ht="22.2" customHeight="1" x14ac:dyDescent="0.3">
      <c r="A10" s="2">
        <v>8</v>
      </c>
      <c r="B10" s="4"/>
      <c r="C10" s="5" t="s">
        <v>7</v>
      </c>
      <c r="D10" s="6">
        <v>1</v>
      </c>
      <c r="E10" s="6">
        <v>60</v>
      </c>
      <c r="F10" s="6">
        <f t="shared" si="0"/>
        <v>60</v>
      </c>
      <c r="G10" s="6"/>
      <c r="H10" s="2">
        <v>26</v>
      </c>
      <c r="I10" s="8"/>
      <c r="J10" s="5" t="s">
        <v>20</v>
      </c>
      <c r="K10" s="6">
        <v>1</v>
      </c>
      <c r="L10" s="6">
        <v>320</v>
      </c>
      <c r="M10" s="6">
        <f t="shared" si="1"/>
        <v>320</v>
      </c>
      <c r="N10" s="5"/>
    </row>
    <row r="11" spans="1:14" ht="22.2" customHeight="1" x14ac:dyDescent="0.3">
      <c r="A11" s="2">
        <v>9</v>
      </c>
      <c r="B11" s="4"/>
      <c r="C11" s="5" t="s">
        <v>8</v>
      </c>
      <c r="D11" s="6">
        <v>1</v>
      </c>
      <c r="E11" s="6">
        <v>100</v>
      </c>
      <c r="F11" s="6">
        <f t="shared" si="0"/>
        <v>100</v>
      </c>
      <c r="G11" s="6"/>
      <c r="H11" s="2">
        <v>27</v>
      </c>
      <c r="I11" s="8"/>
      <c r="J11" s="5" t="s">
        <v>21</v>
      </c>
      <c r="K11" s="6">
        <v>1</v>
      </c>
      <c r="L11" s="6">
        <v>320</v>
      </c>
      <c r="M11" s="6">
        <f t="shared" si="1"/>
        <v>320</v>
      </c>
      <c r="N11" s="5"/>
    </row>
    <row r="12" spans="1:14" ht="22.2" customHeight="1" x14ac:dyDescent="0.3">
      <c r="A12" s="2">
        <v>10</v>
      </c>
      <c r="B12" s="4"/>
      <c r="C12" s="5" t="s">
        <v>9</v>
      </c>
      <c r="D12" s="6">
        <v>1</v>
      </c>
      <c r="E12" s="6">
        <v>60</v>
      </c>
      <c r="F12" s="6">
        <f t="shared" si="0"/>
        <v>60</v>
      </c>
      <c r="G12" s="6"/>
      <c r="H12" s="2">
        <v>28</v>
      </c>
      <c r="I12" s="8"/>
      <c r="J12" s="5" t="s">
        <v>23</v>
      </c>
      <c r="K12" s="6">
        <v>1</v>
      </c>
      <c r="L12" s="6">
        <v>320</v>
      </c>
      <c r="M12" s="6">
        <f t="shared" si="1"/>
        <v>320</v>
      </c>
      <c r="N12" s="5"/>
    </row>
    <row r="13" spans="1:14" ht="22.2" customHeight="1" x14ac:dyDescent="0.3">
      <c r="A13" s="2">
        <v>11</v>
      </c>
      <c r="B13" s="4"/>
      <c r="C13" s="5" t="s">
        <v>10</v>
      </c>
      <c r="D13" s="6">
        <v>1</v>
      </c>
      <c r="E13" s="6">
        <v>20</v>
      </c>
      <c r="F13" s="6">
        <f t="shared" si="0"/>
        <v>20</v>
      </c>
      <c r="G13" s="6"/>
      <c r="H13" s="2">
        <v>29</v>
      </c>
      <c r="I13" s="8"/>
      <c r="J13" s="5" t="s">
        <v>22</v>
      </c>
      <c r="K13" s="6">
        <v>1</v>
      </c>
      <c r="L13" s="6">
        <v>320</v>
      </c>
      <c r="M13" s="6">
        <f t="shared" si="1"/>
        <v>320</v>
      </c>
      <c r="N13" s="5"/>
    </row>
    <row r="14" spans="1:14" ht="22.2" customHeight="1" x14ac:dyDescent="0.3">
      <c r="A14" s="2">
        <v>12</v>
      </c>
      <c r="B14" s="4"/>
      <c r="C14" s="5" t="s">
        <v>11</v>
      </c>
      <c r="D14" s="6">
        <v>1</v>
      </c>
      <c r="E14" s="6">
        <v>100</v>
      </c>
      <c r="F14" s="6">
        <f t="shared" si="0"/>
        <v>100</v>
      </c>
      <c r="G14" s="6"/>
      <c r="H14" s="2">
        <v>30</v>
      </c>
      <c r="I14" s="8"/>
      <c r="J14" s="5" t="s">
        <v>24</v>
      </c>
      <c r="K14" s="6">
        <v>1</v>
      </c>
      <c r="L14" s="6">
        <v>320</v>
      </c>
      <c r="M14" s="6">
        <f t="shared" si="1"/>
        <v>320</v>
      </c>
      <c r="N14" s="5"/>
    </row>
    <row r="15" spans="1:14" ht="22.2" customHeight="1" x14ac:dyDescent="0.3">
      <c r="A15" s="2">
        <v>13</v>
      </c>
      <c r="B15" s="4"/>
      <c r="C15" s="5" t="s">
        <v>12</v>
      </c>
      <c r="D15" s="6">
        <v>2</v>
      </c>
      <c r="E15" s="6">
        <v>290</v>
      </c>
      <c r="F15" s="6">
        <f t="shared" si="0"/>
        <v>580</v>
      </c>
      <c r="G15" s="6"/>
      <c r="H15" s="2">
        <v>31</v>
      </c>
      <c r="I15" s="8"/>
      <c r="J15" s="5" t="s">
        <v>25</v>
      </c>
      <c r="K15" s="6">
        <v>1</v>
      </c>
      <c r="L15" s="6">
        <v>320</v>
      </c>
      <c r="M15" s="6">
        <f t="shared" si="1"/>
        <v>320</v>
      </c>
      <c r="N15" s="5"/>
    </row>
    <row r="16" spans="1:14" ht="22.2" customHeight="1" x14ac:dyDescent="0.3">
      <c r="A16" s="2">
        <v>14</v>
      </c>
      <c r="B16" s="4"/>
      <c r="C16" s="5" t="s">
        <v>13</v>
      </c>
      <c r="D16" s="6">
        <v>6</v>
      </c>
      <c r="E16" s="6">
        <v>30</v>
      </c>
      <c r="F16" s="6">
        <f t="shared" si="0"/>
        <v>180</v>
      </c>
      <c r="G16" s="6"/>
      <c r="H16" s="2">
        <v>32</v>
      </c>
      <c r="I16" s="8"/>
      <c r="J16" s="5" t="s">
        <v>26</v>
      </c>
      <c r="K16" s="6">
        <v>1</v>
      </c>
      <c r="L16" s="6">
        <v>400</v>
      </c>
      <c r="M16" s="6">
        <f t="shared" si="1"/>
        <v>400</v>
      </c>
      <c r="N16" s="5"/>
    </row>
    <row r="17" spans="1:14" ht="22.2" customHeight="1" x14ac:dyDescent="0.3">
      <c r="A17" s="2">
        <v>15</v>
      </c>
      <c r="B17" s="4"/>
      <c r="C17" s="5" t="s">
        <v>14</v>
      </c>
      <c r="D17" s="6">
        <v>2</v>
      </c>
      <c r="E17" s="6">
        <v>35</v>
      </c>
      <c r="F17" s="6">
        <f t="shared" si="0"/>
        <v>70</v>
      </c>
      <c r="G17" s="6"/>
      <c r="H17" s="2">
        <v>33</v>
      </c>
      <c r="I17" s="8"/>
      <c r="J17" s="5" t="s">
        <v>28</v>
      </c>
      <c r="K17" s="6">
        <v>1</v>
      </c>
      <c r="L17" s="6">
        <v>320</v>
      </c>
      <c r="M17" s="6">
        <f t="shared" si="1"/>
        <v>320</v>
      </c>
      <c r="N17" s="5"/>
    </row>
    <row r="18" spans="1:14" ht="22.8" customHeight="1" x14ac:dyDescent="0.3">
      <c r="A18" s="2">
        <v>16</v>
      </c>
      <c r="B18" s="4"/>
      <c r="C18" s="5" t="s">
        <v>18</v>
      </c>
      <c r="D18" s="6">
        <v>2</v>
      </c>
      <c r="E18" s="6">
        <v>65</v>
      </c>
      <c r="F18" s="6">
        <f t="shared" si="0"/>
        <v>130</v>
      </c>
      <c r="G18" s="6"/>
      <c r="H18" s="2">
        <v>34</v>
      </c>
      <c r="I18" s="8"/>
      <c r="J18" s="5" t="s">
        <v>27</v>
      </c>
      <c r="K18" s="6">
        <v>1</v>
      </c>
      <c r="L18" s="6">
        <v>980</v>
      </c>
      <c r="M18" s="6">
        <f t="shared" si="1"/>
        <v>980</v>
      </c>
      <c r="N18" s="5"/>
    </row>
    <row r="19" spans="1:14" ht="22.8" customHeight="1" x14ac:dyDescent="0.3">
      <c r="A19" s="2">
        <v>17</v>
      </c>
      <c r="B19" s="4"/>
      <c r="C19" s="5" t="s">
        <v>4</v>
      </c>
      <c r="D19" s="6">
        <v>1</v>
      </c>
      <c r="E19" s="6" t="s">
        <v>46</v>
      </c>
      <c r="F19" s="2"/>
      <c r="G19" s="13"/>
      <c r="H19" s="2">
        <v>35</v>
      </c>
      <c r="I19" s="9"/>
      <c r="J19" s="5" t="s">
        <v>36</v>
      </c>
      <c r="K19" s="6">
        <v>1</v>
      </c>
      <c r="L19" s="6" t="s">
        <v>46</v>
      </c>
      <c r="M19" s="2"/>
      <c r="N19" s="13"/>
    </row>
    <row r="20" spans="1:14" ht="22.8" customHeight="1" x14ac:dyDescent="0.3">
      <c r="A20" s="2">
        <v>18</v>
      </c>
      <c r="B20" s="4"/>
      <c r="C20" s="5" t="s">
        <v>15</v>
      </c>
      <c r="D20" s="6">
        <v>3</v>
      </c>
      <c r="E20" s="6">
        <v>35</v>
      </c>
      <c r="F20" s="6">
        <f t="shared" si="0"/>
        <v>105</v>
      </c>
      <c r="G20" s="6"/>
      <c r="H20" s="2"/>
      <c r="I20" s="5"/>
      <c r="J20" s="5"/>
      <c r="K20" s="6"/>
      <c r="L20" s="6"/>
      <c r="M20" s="6"/>
      <c r="N20" s="5"/>
    </row>
    <row r="21" spans="1:14" ht="22.8" customHeight="1" x14ac:dyDescent="0.3">
      <c r="A21" s="14" t="s">
        <v>41</v>
      </c>
      <c r="B21" s="14"/>
      <c r="C21" s="14"/>
      <c r="D21" s="14"/>
      <c r="E21" s="14"/>
      <c r="F21" s="15">
        <f>SUM(F3:F20)</f>
        <v>2045</v>
      </c>
      <c r="G21" s="16"/>
      <c r="H21" s="14" t="s">
        <v>41</v>
      </c>
      <c r="I21" s="14"/>
      <c r="J21" s="14"/>
      <c r="K21" s="14"/>
      <c r="L21" s="14"/>
      <c r="M21" s="15">
        <f>SUM(M3:M20)</f>
        <v>5195</v>
      </c>
      <c r="N21" s="16"/>
    </row>
    <row r="22" spans="1:14" ht="27.6" customHeight="1" x14ac:dyDescent="0.3">
      <c r="A22" s="17" t="s">
        <v>44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>
        <f>F21+M21</f>
        <v>7240</v>
      </c>
      <c r="N22" s="17"/>
    </row>
    <row r="26" spans="1:14" ht="17.399999999999999" x14ac:dyDescent="0.3">
      <c r="H26" s="12"/>
    </row>
  </sheetData>
  <mergeCells count="12">
    <mergeCell ref="A1:N1"/>
    <mergeCell ref="A21:E21"/>
    <mergeCell ref="H21:L21"/>
    <mergeCell ref="A22:L22"/>
    <mergeCell ref="M22:N22"/>
    <mergeCell ref="F21:G21"/>
    <mergeCell ref="M21:N21"/>
    <mergeCell ref="B2:C2"/>
    <mergeCell ref="I2:J2"/>
    <mergeCell ref="B3:B20"/>
    <mergeCell ref="I3:I8"/>
    <mergeCell ref="I9:I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工具材料表</vt:lpstr>
      <vt:lpstr>工具材料採購清單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筱薇 施</dc:creator>
  <cp:lastModifiedBy>筱薇 施</cp:lastModifiedBy>
  <cp:lastPrinted>2026-03-23T03:46:24Z</cp:lastPrinted>
  <dcterms:created xsi:type="dcterms:W3CDTF">2026-03-23T03:00:46Z</dcterms:created>
  <dcterms:modified xsi:type="dcterms:W3CDTF">2026-03-23T09:42:31Z</dcterms:modified>
</cp:coreProperties>
</file>